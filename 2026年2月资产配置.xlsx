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ngm\Desktop\"/>
    </mc:Choice>
  </mc:AlternateContent>
  <xr:revisionPtr revIDLastSave="0" documentId="8_{65907FB5-3E15-4602-BD5C-42D9681E462A}" xr6:coauthVersionLast="47" xr6:coauthVersionMax="47" xr10:uidLastSave="{00000000-0000-0000-0000-000000000000}"/>
  <bookViews>
    <workbookView xWindow="-98" yWindow="-98" windowWidth="21795" windowHeight="12975" xr2:uid="{2E43DBAB-D829-4E2C-ACB8-E672D8FE4A8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8" i="1"/>
  <c r="I7" i="1"/>
  <c r="I6" i="1"/>
  <c r="I5" i="1"/>
  <c r="I4" i="1"/>
  <c r="I1" i="1" s="1"/>
  <c r="G1" i="1"/>
  <c r="M1" i="1" l="1"/>
</calcChain>
</file>

<file path=xl/sharedStrings.xml><?xml version="1.0" encoding="utf-8"?>
<sst xmlns="http://schemas.openxmlformats.org/spreadsheetml/2006/main" count="42" uniqueCount="42">
  <si>
    <t>择时系数</t>
    <phoneticPr fontId="2" type="noConversion"/>
  </si>
  <si>
    <t>大类</t>
    <phoneticPr fontId="2" type="noConversion"/>
  </si>
  <si>
    <t>中类</t>
    <phoneticPr fontId="2" type="noConversion"/>
  </si>
  <si>
    <t>标的</t>
    <phoneticPr fontId="2" type="noConversion"/>
  </si>
  <si>
    <t>代码</t>
    <phoneticPr fontId="2" type="noConversion"/>
  </si>
  <si>
    <t>比例</t>
    <phoneticPr fontId="2" type="noConversion"/>
  </si>
  <si>
    <t>成本</t>
    <phoneticPr fontId="2" type="noConversion"/>
  </si>
  <si>
    <t>持仓数量</t>
    <phoneticPr fontId="2" type="noConversion"/>
  </si>
  <si>
    <t>成本金额</t>
    <phoneticPr fontId="2" type="noConversion"/>
  </si>
  <si>
    <t>债券</t>
    <phoneticPr fontId="2" type="noConversion"/>
  </si>
  <si>
    <t>30年国债</t>
    <phoneticPr fontId="2" type="noConversion"/>
  </si>
  <si>
    <t>30年国债ETF</t>
    <phoneticPr fontId="2" type="noConversion"/>
  </si>
  <si>
    <t>股票</t>
    <phoneticPr fontId="2" type="noConversion"/>
  </si>
  <si>
    <t>美股</t>
    <phoneticPr fontId="2" type="noConversion"/>
  </si>
  <si>
    <t>纳斯达克100ETF</t>
    <phoneticPr fontId="2" type="noConversion"/>
  </si>
  <si>
    <t>A股</t>
    <phoneticPr fontId="2" type="noConversion"/>
  </si>
  <si>
    <t>成长100</t>
    <phoneticPr fontId="2" type="noConversion"/>
  </si>
  <si>
    <t>红利</t>
    <phoneticPr fontId="2" type="noConversion"/>
  </si>
  <si>
    <t>自由现金流</t>
    <phoneticPr fontId="2" type="noConversion"/>
  </si>
  <si>
    <t>商品</t>
    <phoneticPr fontId="2" type="noConversion"/>
  </si>
  <si>
    <t>有色</t>
    <phoneticPr fontId="2" type="noConversion"/>
  </si>
  <si>
    <t>有色ETF</t>
    <phoneticPr fontId="2" type="noConversion"/>
  </si>
  <si>
    <t>能源化工</t>
    <phoneticPr fontId="2" type="noConversion"/>
  </si>
  <si>
    <t>能源化工ETF</t>
    <phoneticPr fontId="2" type="noConversion"/>
  </si>
  <si>
    <t>农产品</t>
    <phoneticPr fontId="2" type="noConversion"/>
  </si>
  <si>
    <t>豆粕ETF</t>
    <phoneticPr fontId="2" type="noConversion"/>
  </si>
  <si>
    <t>贵金属</t>
    <phoneticPr fontId="2" type="noConversion"/>
  </si>
  <si>
    <t>黄金ETF</t>
    <phoneticPr fontId="2" type="noConversion"/>
  </si>
  <si>
    <t>511090.SH</t>
    <phoneticPr fontId="2" type="noConversion"/>
  </si>
  <si>
    <t>159659.SZ</t>
    <phoneticPr fontId="2" type="noConversion"/>
  </si>
  <si>
    <t>159259.SZ</t>
    <phoneticPr fontId="2" type="noConversion"/>
  </si>
  <si>
    <t>510880.SH</t>
    <phoneticPr fontId="2" type="noConversion"/>
  </si>
  <si>
    <t>159201.SZ</t>
    <phoneticPr fontId="2" type="noConversion"/>
  </si>
  <si>
    <t>159980.SZ</t>
    <phoneticPr fontId="2" type="noConversion"/>
  </si>
  <si>
    <t>159981.SZ</t>
    <phoneticPr fontId="2" type="noConversion"/>
  </si>
  <si>
    <t>159985.SZ</t>
    <phoneticPr fontId="2" type="noConversion"/>
  </si>
  <si>
    <t>518880.SH</t>
    <phoneticPr fontId="2" type="noConversion"/>
  </si>
  <si>
    <t>总金额(元)</t>
    <phoneticPr fontId="2" type="noConversion"/>
  </si>
  <si>
    <t>beta金额（元）</t>
    <phoneticPr fontId="2" type="noConversion"/>
  </si>
  <si>
    <t>实际建仓金额（元）</t>
    <phoneticPr fontId="2" type="noConversion"/>
  </si>
  <si>
    <t>账户可用（元）</t>
    <phoneticPr fontId="2" type="noConversion"/>
  </si>
  <si>
    <t>建仓摩擦（元）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</si>
</sst>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等线"/>
      <family val="2"/>
      <scheme val="minor"/>
    </font>
    <font>
      <b/>
      <sz val="16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9" fontId="1" fillId="2" borderId="0" xfId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5A2E-2F24-40F2-AE0F-984E6C70DE84}">
  <dimension ref="B1:M12"/>
  <sheetViews>
    <sheetView tabSelected="1" workbookViewId="0">
      <selection activeCell="G9" sqref="G9"/>
    </sheetView>
  </sheetViews>
  <sheetFormatPr defaultRowHeight="13.9" x14ac:dyDescent="0.4"/>
  <cols>
    <col min="1" max="1" width="2.9296875" customWidth="1"/>
    <col min="2" max="2" width="18.59765625" customWidth="1"/>
    <col min="3" max="3" width="15.1328125" customWidth="1"/>
    <col min="4" max="4" width="19.9296875" customWidth="1"/>
    <col min="5" max="5" width="13.46484375" customWidth="1"/>
    <col min="6" max="6" width="22.33203125" customWidth="1"/>
    <col min="7" max="7" width="17" customWidth="1"/>
    <col min="8" max="8" width="24.3984375" customWidth="1"/>
    <col min="9" max="9" width="14.86328125" customWidth="1"/>
    <col min="10" max="10" width="20.6640625" customWidth="1"/>
    <col min="11" max="11" width="13.33203125" customWidth="1"/>
    <col min="12" max="12" width="16.3984375" customWidth="1"/>
    <col min="13" max="13" width="11.46484375" customWidth="1"/>
  </cols>
  <sheetData>
    <row r="1" spans="2:13" ht="20.25" x14ac:dyDescent="0.4">
      <c r="B1" s="1" t="s">
        <v>37</v>
      </c>
      <c r="C1" s="1">
        <v>4274348</v>
      </c>
      <c r="D1" s="1" t="s">
        <v>0</v>
      </c>
      <c r="E1" s="2">
        <v>0.9</v>
      </c>
      <c r="F1" s="1" t="s">
        <v>38</v>
      </c>
      <c r="G1" s="3">
        <f>C1*E1</f>
        <v>3846913.2</v>
      </c>
      <c r="H1" s="1" t="s">
        <v>39</v>
      </c>
      <c r="I1" s="3">
        <f>SUM(I4:I12)</f>
        <v>3806452.4</v>
      </c>
      <c r="J1" s="3" t="s">
        <v>40</v>
      </c>
      <c r="K1" s="3">
        <v>422419</v>
      </c>
      <c r="L1" s="3" t="s">
        <v>41</v>
      </c>
      <c r="M1" s="3">
        <f>G1-I1-(K1-400000)</f>
        <v>18041.800000000279</v>
      </c>
    </row>
    <row r="2" spans="2:13" ht="17.649999999999999" x14ac:dyDescent="0.4">
      <c r="G2" s="4"/>
    </row>
    <row r="3" spans="2:13" ht="20.25" x14ac:dyDescent="0.4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2:13" ht="17.649999999999999" x14ac:dyDescent="0.4">
      <c r="B4" s="6" t="s">
        <v>9</v>
      </c>
      <c r="C4" s="6" t="s">
        <v>10</v>
      </c>
      <c r="D4" s="6" t="s">
        <v>11</v>
      </c>
      <c r="E4" s="6" t="s">
        <v>28</v>
      </c>
      <c r="F4" s="7">
        <v>0.15</v>
      </c>
      <c r="G4" s="8">
        <v>114.889</v>
      </c>
      <c r="H4" s="6">
        <v>5000</v>
      </c>
      <c r="I4" s="9">
        <f>G4*H4</f>
        <v>574445</v>
      </c>
    </row>
    <row r="5" spans="2:13" ht="17.649999999999999" x14ac:dyDescent="0.4">
      <c r="B5" s="10" t="s">
        <v>12</v>
      </c>
      <c r="C5" s="6" t="s">
        <v>13</v>
      </c>
      <c r="D5" s="6" t="s">
        <v>14</v>
      </c>
      <c r="E5" s="6" t="s">
        <v>29</v>
      </c>
      <c r="F5" s="7">
        <v>0.1</v>
      </c>
      <c r="G5" s="8">
        <v>1.288</v>
      </c>
      <c r="H5" s="6">
        <v>277900</v>
      </c>
      <c r="I5" s="9">
        <f t="shared" ref="I5:I12" si="0">G5*H5</f>
        <v>357935.2</v>
      </c>
    </row>
    <row r="6" spans="2:13" ht="17.649999999999999" x14ac:dyDescent="0.4">
      <c r="B6" s="10"/>
      <c r="C6" s="12" t="s">
        <v>15</v>
      </c>
      <c r="D6" s="6" t="s">
        <v>16</v>
      </c>
      <c r="E6" s="6" t="s">
        <v>30</v>
      </c>
      <c r="F6" s="11">
        <v>0.2</v>
      </c>
      <c r="G6" s="8">
        <v>1.1299999999999999</v>
      </c>
      <c r="H6" s="6">
        <v>681500</v>
      </c>
      <c r="I6" s="9">
        <f t="shared" si="0"/>
        <v>770094.99999999988</v>
      </c>
    </row>
    <row r="7" spans="2:13" ht="17.649999999999999" x14ac:dyDescent="0.4">
      <c r="B7" s="10"/>
      <c r="C7" s="13"/>
      <c r="D7" s="6" t="s">
        <v>17</v>
      </c>
      <c r="E7" s="6" t="s">
        <v>31</v>
      </c>
      <c r="F7" s="11">
        <v>7.0000000000000007E-2</v>
      </c>
      <c r="G7" s="8">
        <v>3.1059999999999999</v>
      </c>
      <c r="H7" s="6">
        <v>86700</v>
      </c>
      <c r="I7" s="9">
        <f t="shared" si="0"/>
        <v>269290.2</v>
      </c>
    </row>
    <row r="8" spans="2:13" ht="17.649999999999999" x14ac:dyDescent="0.4">
      <c r="B8" s="10"/>
      <c r="C8" s="14"/>
      <c r="D8" s="6" t="s">
        <v>18</v>
      </c>
      <c r="E8" s="6" t="s">
        <v>32</v>
      </c>
      <c r="F8" s="11">
        <v>0.03</v>
      </c>
      <c r="G8" s="8">
        <v>1.3049999999999999</v>
      </c>
      <c r="H8" s="6">
        <v>88400</v>
      </c>
      <c r="I8" s="9">
        <f t="shared" si="0"/>
        <v>115362</v>
      </c>
    </row>
    <row r="9" spans="2:13" ht="17.649999999999999" x14ac:dyDescent="0.4">
      <c r="B9" s="10" t="s">
        <v>19</v>
      </c>
      <c r="C9" s="6" t="s">
        <v>20</v>
      </c>
      <c r="D9" s="6" t="s">
        <v>21</v>
      </c>
      <c r="E9" s="6" t="s">
        <v>33</v>
      </c>
      <c r="F9" s="7">
        <v>0.1</v>
      </c>
      <c r="G9" s="8">
        <v>2.0870000000000002</v>
      </c>
      <c r="H9" s="6">
        <v>183400</v>
      </c>
      <c r="I9" s="9">
        <f t="shared" si="0"/>
        <v>382755.80000000005</v>
      </c>
    </row>
    <row r="10" spans="2:13" ht="17.649999999999999" x14ac:dyDescent="0.4">
      <c r="B10" s="10"/>
      <c r="C10" s="6" t="s">
        <v>22</v>
      </c>
      <c r="D10" s="6" t="s">
        <v>23</v>
      </c>
      <c r="E10" s="6" t="s">
        <v>34</v>
      </c>
      <c r="F10" s="7">
        <v>0.15</v>
      </c>
      <c r="G10" s="8">
        <v>1.292</v>
      </c>
      <c r="H10" s="6">
        <v>446600</v>
      </c>
      <c r="I10" s="9">
        <f t="shared" si="0"/>
        <v>577007.20000000007</v>
      </c>
    </row>
    <row r="11" spans="2:13" ht="17.649999999999999" x14ac:dyDescent="0.4">
      <c r="B11" s="10"/>
      <c r="C11" s="6" t="s">
        <v>24</v>
      </c>
      <c r="D11" s="6" t="s">
        <v>25</v>
      </c>
      <c r="E11" s="6" t="s">
        <v>35</v>
      </c>
      <c r="F11" s="7">
        <v>0.15</v>
      </c>
      <c r="G11" s="8">
        <v>1.988</v>
      </c>
      <c r="H11" s="6">
        <v>290000</v>
      </c>
      <c r="I11" s="9">
        <f t="shared" si="0"/>
        <v>576520</v>
      </c>
    </row>
    <row r="12" spans="2:13" ht="17.649999999999999" x14ac:dyDescent="0.4">
      <c r="B12" s="10"/>
      <c r="C12" s="6" t="s">
        <v>26</v>
      </c>
      <c r="D12" s="6" t="s">
        <v>27</v>
      </c>
      <c r="E12" s="6" t="s">
        <v>36</v>
      </c>
      <c r="F12" s="7">
        <v>0.05</v>
      </c>
      <c r="G12" s="8">
        <v>10.169</v>
      </c>
      <c r="H12" s="6">
        <v>18000</v>
      </c>
      <c r="I12" s="9">
        <f t="shared" si="0"/>
        <v>183042</v>
      </c>
    </row>
  </sheetData>
  <mergeCells count="3">
    <mergeCell ref="B5:B8"/>
    <mergeCell ref="B9:B12"/>
    <mergeCell ref="C6:C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Mingming DENG</dc:creator>
  <cp:lastModifiedBy>Mingming DENG</cp:lastModifiedBy>
  <dcterms:created xsi:type="dcterms:W3CDTF">2026-02-03T06:14:56Z</dcterms:created>
  <dcterms:modified xsi:type="dcterms:W3CDTF">2026-02-03T06:19:50Z</dcterms:modified>
</cp:coreProperties>
</file>